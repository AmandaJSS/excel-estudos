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96bb95236564e1/Documentos/"/>
    </mc:Choice>
  </mc:AlternateContent>
  <xr:revisionPtr revIDLastSave="242" documentId="8_{B1F83E0A-5F15-433E-88C1-15DC8FBB062A}" xr6:coauthVersionLast="47" xr6:coauthVersionMax="47" xr10:uidLastSave="{7F47F690-4C4E-45EB-9BCB-1DA3BBB9EA8B}"/>
  <bookViews>
    <workbookView xWindow="-108" yWindow="-108" windowWidth="23256" windowHeight="12456" tabRatio="0" xr2:uid="{C70A9847-E239-42CE-B420-F541D82054AA}"/>
  </bookViews>
  <sheets>
    <sheet name="Planilha1" sheetId="1" r:id="rId1"/>
    <sheet name="Planilha2" sheetId="2" r:id="rId2"/>
  </sheets>
  <definedNames>
    <definedName name="Aporte">Planilha1!$G$21</definedName>
    <definedName name="Rendimeoto_carteira">Planilha1!$G$16</definedName>
    <definedName name="sugestão_investimento">Planilha1!$G$17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3" i="1"/>
  <c r="D44" i="1"/>
  <c r="D45" i="1"/>
  <c r="D46" i="1"/>
  <c r="D41" i="1"/>
  <c r="J3" i="2"/>
  <c r="B3" i="2"/>
  <c r="B8" i="2"/>
  <c r="B9" i="2"/>
  <c r="B10" i="2"/>
  <c r="B11" i="2"/>
  <c r="B12" i="2"/>
  <c r="B13" i="2"/>
  <c r="B14" i="2"/>
  <c r="B15" i="2"/>
  <c r="B16" i="2"/>
  <c r="B17" i="2"/>
  <c r="B18" i="2"/>
  <c r="B19" i="2"/>
  <c r="B4" i="2"/>
  <c r="B5" i="2"/>
  <c r="B6" i="2"/>
  <c r="B7" i="2"/>
  <c r="B2" i="2"/>
  <c r="D37" i="1"/>
  <c r="G17" i="1"/>
  <c r="D30" i="1"/>
  <c r="G30" i="1" s="1"/>
  <c r="D31" i="1"/>
  <c r="G31" i="1" s="1"/>
  <c r="D32" i="1"/>
  <c r="G32" i="1" s="1"/>
  <c r="D33" i="1"/>
  <c r="G33" i="1" s="1"/>
  <c r="D29" i="1"/>
  <c r="G29" i="1" s="1"/>
  <c r="G24" i="1"/>
  <c r="G25" i="1" s="1"/>
  <c r="G41" i="1" l="1"/>
  <c r="G42" i="1"/>
  <c r="G43" i="1"/>
  <c r="G46" i="1"/>
  <c r="G45" i="1"/>
  <c r="G44" i="1"/>
  <c r="G47" i="1" l="1"/>
</calcChain>
</file>

<file path=xl/sharedStrings.xml><?xml version="1.0" encoding="utf-8"?>
<sst xmlns="http://schemas.openxmlformats.org/spreadsheetml/2006/main" count="72" uniqueCount="37">
  <si>
    <t xml:space="preserve">INVESTIMENTO MENSAL </t>
  </si>
  <si>
    <t>Quanto investir por mês?</t>
  </si>
  <si>
    <t>Por quantos anos?</t>
  </si>
  <si>
    <t>Taxa de rendimento mensal?</t>
  </si>
  <si>
    <t>Patrimônio acumulado?</t>
  </si>
  <si>
    <t>Dividendos mensais?</t>
  </si>
  <si>
    <t xml:space="preserve">Cenários </t>
  </si>
  <si>
    <t>Quanto em 5  Anos?</t>
  </si>
  <si>
    <t>Quanto em 2  Anos?</t>
  </si>
  <si>
    <t>Quanto em 10 Anos?</t>
  </si>
  <si>
    <t>Quanto em 20 Anos?</t>
  </si>
  <si>
    <t>Quanto em 30 Anos?</t>
  </si>
  <si>
    <t>Dividendos</t>
  </si>
  <si>
    <t>Salário</t>
  </si>
  <si>
    <t>Rendimento Carteira</t>
  </si>
  <si>
    <t>Sugestão de Investimento</t>
  </si>
  <si>
    <t>CONFIGURAÇÕES</t>
  </si>
  <si>
    <t>Perfil</t>
  </si>
  <si>
    <t>Conservador</t>
  </si>
  <si>
    <t>Moderado</t>
  </si>
  <si>
    <t>VALOR A SER ENVESTIDO 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</si>
  <si>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</si>
  <si>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</si>
  <si>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</si>
  <si>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</si>
  <si>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</si>
  <si>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</si>
  <si>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</si>
  <si>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</si>
  <si>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</si>
  <si>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</si>
  <si>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TIPOS DE FII</t>
  </si>
  <si>
    <t>PERFIL</t>
  </si>
  <si>
    <t>%</t>
  </si>
  <si>
    <t>CHAVE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</si>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</sst>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A29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C8A295"/>
      </bottom>
      <diagonal/>
    </border>
    <border>
      <left/>
      <right/>
      <top style="thin">
        <color rgb="FFC8A295"/>
      </top>
      <bottom/>
      <diagonal/>
    </border>
    <border>
      <left style="thin">
        <color rgb="FFC8A295"/>
      </left>
      <right style="thin">
        <color theme="0" tint="-4.9989318521683403E-2"/>
      </right>
      <top style="thin">
        <color rgb="FFC8A295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C8A295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C8A295"/>
      </left>
      <right style="thin">
        <color theme="0" tint="-4.9989318521683403E-2"/>
      </right>
      <top style="thin">
        <color theme="0" tint="-4.9989318521683403E-2"/>
      </top>
      <bottom style="thin">
        <color rgb="FFC8A295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C8A295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C8A295"/>
      </bottom>
      <diagonal/>
    </border>
    <border>
      <left/>
      <right style="thin">
        <color rgb="FFC8A295"/>
      </right>
      <top style="thin">
        <color theme="0" tint="-4.9989318521683403E-2"/>
      </top>
      <bottom style="thin">
        <color rgb="FFC8A295"/>
      </bottom>
      <diagonal/>
    </border>
    <border>
      <left/>
      <right/>
      <top style="thin">
        <color rgb="FFC8A295"/>
      </top>
      <bottom style="thin">
        <color theme="0" tint="-4.9989318521683403E-2"/>
      </bottom>
      <diagonal/>
    </border>
    <border>
      <left/>
      <right style="thin">
        <color rgb="FFC8A295"/>
      </right>
      <top style="thin">
        <color rgb="FFC8A295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rgb="FFC8A295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rgb="FFC8A295"/>
      </bottom>
      <diagonal/>
    </border>
    <border>
      <left style="thick">
        <color rgb="FFC8A295"/>
      </left>
      <right style="thin">
        <color theme="0" tint="-4.9989318521683403E-2"/>
      </right>
      <top style="thick">
        <color rgb="FFC8A295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rgb="FFC8A295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rgb="FFC8A295"/>
      </right>
      <top style="thick">
        <color rgb="FFC8A295"/>
      </top>
      <bottom style="thin">
        <color theme="0" tint="-4.9989318521683403E-2"/>
      </bottom>
      <diagonal/>
    </border>
    <border>
      <left style="thick">
        <color rgb="FFC8A295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rgb="FFC8A295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rgb="FFC8A295"/>
      </left>
      <right style="thin">
        <color theme="0" tint="-4.9989318521683403E-2"/>
      </right>
      <top style="thin">
        <color theme="0" tint="-4.9989318521683403E-2"/>
      </top>
      <bottom style="thick">
        <color rgb="FFC8A295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ck">
        <color rgb="FFC8A295"/>
      </bottom>
      <diagonal/>
    </border>
    <border>
      <left style="thin">
        <color theme="0" tint="-4.9989318521683403E-2"/>
      </left>
      <right style="thick">
        <color rgb="FFC8A295"/>
      </right>
      <top style="thin">
        <color theme="0" tint="-4.9989318521683403E-2"/>
      </top>
      <bottom style="thick">
        <color rgb="FFC8A295"/>
      </bottom>
      <diagonal/>
    </border>
    <border>
      <left style="thin">
        <color rgb="FFC8A295"/>
      </left>
      <right style="thin">
        <color rgb="FFEAEAEA"/>
      </right>
      <top style="thin">
        <color rgb="FFC8A295"/>
      </top>
      <bottom style="thin">
        <color rgb="FFEAEAEA"/>
      </bottom>
      <diagonal/>
    </border>
    <border>
      <left style="thin">
        <color rgb="FFEAEAEA"/>
      </left>
      <right style="thin">
        <color rgb="FFEAEAEA"/>
      </right>
      <top style="thin">
        <color rgb="FFC8A295"/>
      </top>
      <bottom style="thin">
        <color rgb="FFEAEAEA"/>
      </bottom>
      <diagonal/>
    </border>
    <border>
      <left style="thin">
        <color rgb="FFEAEAEA"/>
      </left>
      <right style="thin">
        <color rgb="FFC8A295"/>
      </right>
      <top style="thin">
        <color rgb="FFC8A295"/>
      </top>
      <bottom style="thin">
        <color rgb="FFEAEAEA"/>
      </bottom>
      <diagonal/>
    </border>
    <border>
      <left style="thin">
        <color rgb="FFC8A295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rgb="FFEAEAEA"/>
      </left>
      <right style="thin">
        <color rgb="FFC8A295"/>
      </right>
      <top style="thin">
        <color rgb="FFEAEAEA"/>
      </top>
      <bottom style="thin">
        <color rgb="FFEAEAEA"/>
      </bottom>
      <diagonal/>
    </border>
    <border>
      <left style="thin">
        <color rgb="FFC8A295"/>
      </left>
      <right style="thin">
        <color rgb="FFEAEAEA"/>
      </right>
      <top style="thin">
        <color rgb="FFEAEAEA"/>
      </top>
      <bottom style="thin">
        <color rgb="FFC8A295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C8A295"/>
      </bottom>
      <diagonal/>
    </border>
    <border>
      <left style="thin">
        <color rgb="FFEAEAEA"/>
      </left>
      <right style="thin">
        <color rgb="FFC8A295"/>
      </right>
      <top style="thin">
        <color rgb="FFEAEAEA"/>
      </top>
      <bottom style="thin">
        <color rgb="FFC8A29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5" xfId="0" applyBorder="1" applyAlignment="1"/>
    <xf numFmtId="0" fontId="0" fillId="0" borderId="5" xfId="0" applyBorder="1" applyAlignment="1">
      <alignment horizontal="center"/>
    </xf>
    <xf numFmtId="0" fontId="4" fillId="0" borderId="0" xfId="0" applyFont="1"/>
    <xf numFmtId="168" fontId="0" fillId="0" borderId="5" xfId="1" applyNumberFormat="1" applyFont="1" applyBorder="1" applyAlignment="1">
      <alignment vertical="center" readingOrder="1"/>
    </xf>
    <xf numFmtId="0" fontId="0" fillId="3" borderId="5" xfId="0" applyFill="1" applyBorder="1" applyAlignment="1">
      <alignment horizontal="left"/>
    </xf>
    <xf numFmtId="168" fontId="0" fillId="3" borderId="5" xfId="1" applyNumberFormat="1" applyFont="1" applyFill="1" applyBorder="1" applyAlignment="1">
      <alignment horizontal="left" vertical="center" readingOrder="1"/>
    </xf>
    <xf numFmtId="0" fontId="0" fillId="3" borderId="5" xfId="0" applyFill="1" applyBorder="1" applyAlignment="1"/>
    <xf numFmtId="168" fontId="0" fillId="3" borderId="5" xfId="1" applyNumberFormat="1" applyFont="1" applyFill="1" applyBorder="1" applyAlignment="1">
      <alignment horizontal="left" vertical="center" readingOrder="1"/>
    </xf>
    <xf numFmtId="168" fontId="0" fillId="0" borderId="5" xfId="1" applyNumberFormat="1" applyFont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8" fontId="0" fillId="0" borderId="18" xfId="1" applyNumberFormat="1" applyFont="1" applyBorder="1" applyAlignment="1">
      <alignment horizontal="left" vertical="center"/>
    </xf>
    <xf numFmtId="10" fontId="0" fillId="0" borderId="18" xfId="0" applyNumberFormat="1" applyBorder="1" applyAlignment="1">
      <alignment horizontal="left" vertic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8" fontId="0" fillId="0" borderId="18" xfId="1" applyNumberFormat="1" applyFont="1" applyBorder="1" applyAlignment="1">
      <alignment horizontal="left" vertical="center" readingOrder="1"/>
    </xf>
    <xf numFmtId="0" fontId="0" fillId="0" borderId="18" xfId="0" applyBorder="1" applyAlignment="1">
      <alignment horizontal="left"/>
    </xf>
    <xf numFmtId="10" fontId="0" fillId="0" borderId="5" xfId="2" applyNumberFormat="1" applyFont="1" applyBorder="1" applyAlignment="1"/>
    <xf numFmtId="10" fontId="0" fillId="0" borderId="18" xfId="2" applyNumberFormat="1" applyFont="1" applyBorder="1" applyAlignment="1">
      <alignment horizontal="left"/>
    </xf>
    <xf numFmtId="8" fontId="0" fillId="3" borderId="5" xfId="0" applyNumberFormat="1" applyFill="1" applyBorder="1" applyAlignment="1"/>
    <xf numFmtId="8" fontId="0" fillId="3" borderId="18" xfId="0" applyNumberFormat="1" applyFill="1" applyBorder="1" applyAlignment="1">
      <alignment horizontal="left"/>
    </xf>
    <xf numFmtId="8" fontId="0" fillId="3" borderId="20" xfId="0" applyNumberFormat="1" applyFill="1" applyBorder="1" applyAlignment="1"/>
    <xf numFmtId="8" fontId="0" fillId="3" borderId="21" xfId="0" applyNumberForma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left"/>
    </xf>
    <xf numFmtId="168" fontId="0" fillId="3" borderId="18" xfId="0" applyNumberFormat="1" applyFill="1" applyBorder="1" applyAlignment="1">
      <alignment horizontal="left"/>
    </xf>
    <xf numFmtId="0" fontId="0" fillId="3" borderId="17" xfId="0" applyFill="1" applyBorder="1" applyAlignment="1"/>
    <xf numFmtId="0" fontId="0" fillId="3" borderId="19" xfId="0" applyFill="1" applyBorder="1" applyAlignment="1"/>
    <xf numFmtId="0" fontId="0" fillId="3" borderId="20" xfId="0" applyFill="1" applyBorder="1" applyAlignment="1"/>
    <xf numFmtId="168" fontId="0" fillId="3" borderId="20" xfId="1" applyNumberFormat="1" applyFont="1" applyFill="1" applyBorder="1" applyAlignment="1">
      <alignment horizontal="left" vertical="center" readingOrder="1"/>
    </xf>
    <xf numFmtId="168" fontId="0" fillId="3" borderId="21" xfId="0" applyNumberFormat="1" applyFill="1" applyBorder="1" applyAlignment="1">
      <alignment horizontal="left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68" fontId="0" fillId="4" borderId="20" xfId="0" applyNumberFormat="1" applyFill="1" applyBorder="1" applyAlignment="1">
      <alignment vertical="center"/>
    </xf>
    <xf numFmtId="168" fontId="0" fillId="4" borderId="21" xfId="0" applyNumberForma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Border="1" applyAlignment="1"/>
    <xf numFmtId="168" fontId="0" fillId="0" borderId="0" xfId="1" applyNumberFormat="1" applyFont="1" applyFill="1" applyBorder="1" applyAlignment="1">
      <alignment horizontal="left" vertical="center" readingOrder="1"/>
    </xf>
    <xf numFmtId="168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2" xfId="2" applyNumberFormat="1" applyFont="1" applyBorder="1" applyAlignment="1">
      <alignment horizontal="center"/>
    </xf>
    <xf numFmtId="9" fontId="0" fillId="0" borderId="0" xfId="2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168" fontId="2" fillId="2" borderId="12" xfId="1" applyNumberFormat="1" applyFont="1" applyFill="1" applyBorder="1" applyAlignment="1">
      <alignment horizontal="center" vertical="center" readingOrder="1"/>
    </xf>
    <xf numFmtId="168" fontId="2" fillId="2" borderId="10" xfId="1" applyNumberFormat="1" applyFont="1" applyFill="1" applyBorder="1" applyAlignment="1">
      <alignment horizontal="center" vertical="center" readingOrder="1"/>
    </xf>
    <xf numFmtId="168" fontId="2" fillId="2" borderId="11" xfId="1" applyNumberFormat="1" applyFont="1" applyFill="1" applyBorder="1" applyAlignment="1">
      <alignment horizontal="center" vertical="center" readingOrder="1"/>
    </xf>
    <xf numFmtId="168" fontId="3" fillId="4" borderId="8" xfId="1" applyNumberFormat="1" applyFont="1" applyFill="1" applyBorder="1" applyAlignment="1">
      <alignment horizontal="center"/>
    </xf>
    <xf numFmtId="168" fontId="3" fillId="4" borderId="13" xfId="1" applyNumberFormat="1" applyFont="1" applyFill="1" applyBorder="1" applyAlignment="1">
      <alignment horizontal="center"/>
    </xf>
    <xf numFmtId="168" fontId="3" fillId="4" borderId="9" xfId="1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0" fillId="2" borderId="23" xfId="0" applyFill="1" applyBorder="1"/>
    <xf numFmtId="0" fontId="3" fillId="2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0" fillId="0" borderId="26" xfId="0" applyBorder="1"/>
    <xf numFmtId="168" fontId="0" fillId="0" borderId="27" xfId="0" applyNumberFormat="1" applyBorder="1" applyAlignment="1">
      <alignment horizontal="left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/>
    </xf>
    <xf numFmtId="0" fontId="0" fillId="4" borderId="29" xfId="0" applyFill="1" applyBorder="1"/>
    <xf numFmtId="168" fontId="3" fillId="4" borderId="30" xfId="0" applyNumberFormat="1" applyFont="1" applyFill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7EFEA"/>
      <color rgb="FFEAEAEA"/>
      <color rgb="FFC8A295"/>
      <color rgb="FFFFCCCC"/>
      <color rgb="FF9B8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17928</xdr:rowOff>
    </xdr:from>
    <xdr:to>
      <xdr:col>16383</xdr:col>
      <xdr:colOff>134471</xdr:colOff>
      <xdr:row>9</xdr:row>
      <xdr:rowOff>174904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D69331B-2948-16CB-6433-52E8111C3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63" b="31518"/>
        <a:stretch>
          <a:fillRect/>
        </a:stretch>
      </xdr:blipFill>
      <xdr:spPr>
        <a:xfrm>
          <a:off x="0" y="17928"/>
          <a:ext cx="5827059" cy="1770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5D33-09E0-4336-8801-7A4E2CB00C84}">
  <dimension ref="A1:XFD65"/>
  <sheetViews>
    <sheetView showGridLines="0" tabSelected="1" zoomScale="85" zoomScaleNormal="85" workbookViewId="0">
      <selection activeCell="G15" sqref="G15"/>
    </sheetView>
  </sheetViews>
  <sheetFormatPr defaultColWidth="8.88671875" defaultRowHeight="14.4" x14ac:dyDescent="0.3"/>
  <cols>
    <col min="1" max="1" width="1.88671875" customWidth="1"/>
    <col min="2" max="2" width="8.88671875" customWidth="1"/>
    <col min="3" max="3" width="35.6640625" customWidth="1"/>
    <col min="4" max="4" width="23.77734375" customWidth="1"/>
    <col min="5" max="5" width="0.109375" hidden="1" customWidth="1"/>
    <col min="6" max="6" width="8.88671875" hidden="1" customWidth="1"/>
    <col min="7" max="7" width="12.77734375" customWidth="1"/>
    <col min="8" max="8" width="8.88671875" hidden="1" customWidth="1"/>
    <col min="9" max="9" width="10.44140625" hidden="1" customWidth="1"/>
    <col min="10" max="10" width="11.88671875" hidden="1" customWidth="1"/>
    <col min="11" max="11" width="8.88671875" hidden="1" customWidth="1"/>
    <col min="12" max="16383" width="0" hidden="1" customWidth="1"/>
    <col min="16384" max="16384" width="2" customWidth="1"/>
  </cols>
  <sheetData>
    <row r="1" spans="2:7" x14ac:dyDescent="0.3">
      <c r="B1" s="2"/>
      <c r="C1" s="2"/>
      <c r="D1" s="2"/>
      <c r="E1" s="2"/>
      <c r="F1" s="2"/>
      <c r="G1" s="2"/>
    </row>
    <row r="2" spans="2:7" x14ac:dyDescent="0.3">
      <c r="B2" s="2"/>
      <c r="C2" s="2"/>
      <c r="D2" s="2"/>
      <c r="E2" s="2"/>
      <c r="F2" s="2"/>
      <c r="G2" s="2"/>
    </row>
    <row r="3" spans="2:7" x14ac:dyDescent="0.3">
      <c r="B3" s="2"/>
      <c r="C3" s="2"/>
      <c r="D3" s="2"/>
      <c r="E3" s="2"/>
      <c r="F3" s="2"/>
      <c r="G3" s="2"/>
    </row>
    <row r="4" spans="2:7" x14ac:dyDescent="0.3">
      <c r="B4" s="2"/>
      <c r="C4" s="2"/>
      <c r="D4" s="2"/>
      <c r="E4" s="2"/>
      <c r="F4" s="2"/>
      <c r="G4" s="2"/>
    </row>
    <row r="5" spans="2:7" x14ac:dyDescent="0.3">
      <c r="B5" s="2"/>
      <c r="C5" s="2"/>
      <c r="D5" s="2"/>
      <c r="E5" s="2"/>
      <c r="F5" s="2"/>
      <c r="G5" s="2"/>
    </row>
    <row r="6" spans="2:7" x14ac:dyDescent="0.3">
      <c r="B6" s="2"/>
      <c r="C6" s="2"/>
      <c r="D6" s="2"/>
      <c r="E6" s="2"/>
      <c r="F6" s="2"/>
      <c r="G6" s="2"/>
    </row>
    <row r="7" spans="2:7" x14ac:dyDescent="0.3">
      <c r="B7" s="2"/>
      <c r="C7" s="2"/>
      <c r="D7" s="2"/>
      <c r="E7" s="2"/>
      <c r="F7" s="2"/>
      <c r="G7" s="2"/>
    </row>
    <row r="8" spans="2:7" customFormat="1" x14ac:dyDescent="0.3"/>
    <row r="9" spans="2:7" customFormat="1" x14ac:dyDescent="0.3"/>
    <row r="10" spans="2:7" customFormat="1" x14ac:dyDescent="0.3"/>
    <row r="11" spans="2:7" customFormat="1" x14ac:dyDescent="0.3"/>
    <row r="12" spans="2:7" customFormat="1" x14ac:dyDescent="0.3"/>
    <row r="13" spans="2:7" customFormat="1" ht="15" thickBot="1" x14ac:dyDescent="0.35"/>
    <row r="14" spans="2:7" customFormat="1" ht="21" customHeight="1" thickTop="1" x14ac:dyDescent="0.3">
      <c r="B14" s="17" t="s">
        <v>16</v>
      </c>
      <c r="C14" s="18"/>
      <c r="D14" s="18"/>
      <c r="E14" s="18"/>
      <c r="F14" s="18"/>
      <c r="G14" s="19"/>
    </row>
    <row r="15" spans="2:7" customFormat="1" ht="14.4" customHeight="1" x14ac:dyDescent="0.3">
      <c r="B15" s="20" t="s">
        <v>13</v>
      </c>
      <c r="C15" s="21"/>
      <c r="D15" s="21"/>
      <c r="E15" s="15"/>
      <c r="F15" s="15"/>
      <c r="G15" s="22">
        <v>3000</v>
      </c>
    </row>
    <row r="16" spans="2:7" customFormat="1" ht="14.4" customHeight="1" x14ac:dyDescent="0.3">
      <c r="B16" s="20" t="s">
        <v>14</v>
      </c>
      <c r="C16" s="21"/>
      <c r="D16" s="21"/>
      <c r="E16" s="16"/>
      <c r="F16" s="16"/>
      <c r="G16" s="23">
        <v>6.0000000000000001E-3</v>
      </c>
    </row>
    <row r="17" spans="1:7" customFormat="1" ht="14.4" customHeight="1" thickBot="1" x14ac:dyDescent="0.35">
      <c r="B17" s="46" t="s">
        <v>15</v>
      </c>
      <c r="C17" s="47"/>
      <c r="D17" s="47"/>
      <c r="E17" s="48"/>
      <c r="F17" s="48"/>
      <c r="G17" s="49">
        <f>G15*30%</f>
        <v>900</v>
      </c>
    </row>
    <row r="18" spans="1:7" customFormat="1" ht="13.8" customHeight="1" thickTop="1" x14ac:dyDescent="0.3"/>
    <row r="19" spans="1:7" customFormat="1" ht="15" thickBot="1" x14ac:dyDescent="0.35">
      <c r="B19" s="5"/>
      <c r="C19" s="5"/>
      <c r="D19" s="5"/>
      <c r="E19" s="5"/>
      <c r="F19" s="5"/>
    </row>
    <row r="20" spans="1:7" customFormat="1" ht="26.4" thickTop="1" x14ac:dyDescent="0.5">
      <c r="A20" s="5"/>
      <c r="B20" s="24" t="s">
        <v>0</v>
      </c>
      <c r="C20" s="25"/>
      <c r="D20" s="25"/>
      <c r="E20" s="25"/>
      <c r="F20" s="25"/>
      <c r="G20" s="26"/>
    </row>
    <row r="21" spans="1:7" customFormat="1" x14ac:dyDescent="0.3">
      <c r="A21" s="5"/>
      <c r="B21" s="27" t="s">
        <v>1</v>
      </c>
      <c r="C21" s="8"/>
      <c r="D21" s="8"/>
      <c r="E21" s="10"/>
      <c r="F21" s="10"/>
      <c r="G21" s="28">
        <v>900</v>
      </c>
    </row>
    <row r="22" spans="1:7" customFormat="1" x14ac:dyDescent="0.3">
      <c r="A22" s="5"/>
      <c r="B22" s="27" t="s">
        <v>2</v>
      </c>
      <c r="C22" s="8"/>
      <c r="D22" s="8"/>
      <c r="E22" s="7"/>
      <c r="F22" s="7"/>
      <c r="G22" s="29">
        <v>10</v>
      </c>
    </row>
    <row r="23" spans="1:7" customFormat="1" x14ac:dyDescent="0.3">
      <c r="A23" s="5"/>
      <c r="B23" s="27" t="s">
        <v>3</v>
      </c>
      <c r="C23" s="8"/>
      <c r="D23" s="8"/>
      <c r="E23" s="30"/>
      <c r="F23" s="30"/>
      <c r="G23" s="31">
        <v>1.0789999999999999E-2</v>
      </c>
    </row>
    <row r="24" spans="1:7" customFormat="1" x14ac:dyDescent="0.3">
      <c r="A24" s="5"/>
      <c r="B24" s="58" t="s">
        <v>4</v>
      </c>
      <c r="C24" s="59"/>
      <c r="D24" s="59"/>
      <c r="E24" s="32"/>
      <c r="F24" s="32"/>
      <c r="G24" s="33">
        <f>FV(G23,G22*12,G21*-1)</f>
        <v>218955.79127715499</v>
      </c>
    </row>
    <row r="25" spans="1:7" customFormat="1" ht="15" thickBot="1" x14ac:dyDescent="0.35">
      <c r="A25" s="5"/>
      <c r="B25" s="60" t="s">
        <v>5</v>
      </c>
      <c r="C25" s="61"/>
      <c r="D25" s="61"/>
      <c r="E25" s="34"/>
      <c r="F25" s="34"/>
      <c r="G25" s="35">
        <f>G24*G23</f>
        <v>2362.5329878805023</v>
      </c>
    </row>
    <row r="26" spans="1:7" customFormat="1" ht="15" thickTop="1" x14ac:dyDescent="0.3">
      <c r="B26" s="5"/>
      <c r="C26" s="5"/>
      <c r="D26" s="5"/>
    </row>
    <row r="27" spans="1:7" customFormat="1" ht="15" thickBot="1" x14ac:dyDescent="0.35"/>
    <row r="28" spans="1:7" customFormat="1" ht="26.4" thickTop="1" x14ac:dyDescent="0.5">
      <c r="B28" s="36" t="s">
        <v>6</v>
      </c>
      <c r="C28" s="37"/>
      <c r="D28" s="37"/>
      <c r="E28" s="37"/>
      <c r="F28" s="37"/>
      <c r="G28" s="38" t="s">
        <v>12</v>
      </c>
    </row>
    <row r="29" spans="1:7" customFormat="1" x14ac:dyDescent="0.3">
      <c r="A29" s="9">
        <v>2</v>
      </c>
      <c r="B29" s="39" t="s">
        <v>8</v>
      </c>
      <c r="C29" s="11"/>
      <c r="D29" s="12">
        <f>FV($G$23,$A29*12,$G$21*-1)</f>
        <v>24504.864567880697</v>
      </c>
      <c r="E29" s="12"/>
      <c r="F29" s="12"/>
      <c r="G29" s="40">
        <f>D29*Rendimeoto_carteira</f>
        <v>147.02918740728418</v>
      </c>
    </row>
    <row r="30" spans="1:7" customFormat="1" x14ac:dyDescent="0.3">
      <c r="A30" s="9">
        <v>5</v>
      </c>
      <c r="B30" s="41" t="s">
        <v>7</v>
      </c>
      <c r="C30" s="13"/>
      <c r="D30" s="14">
        <f>FV($G$23,$A30*12,$G$21*-1)</f>
        <v>75399.22259863888</v>
      </c>
      <c r="E30" s="14"/>
      <c r="F30" s="14"/>
      <c r="G30" s="40">
        <f>D30*Rendimeoto_carteira</f>
        <v>452.39533559183332</v>
      </c>
    </row>
    <row r="31" spans="1:7" customFormat="1" x14ac:dyDescent="0.3">
      <c r="A31" s="9">
        <v>10</v>
      </c>
      <c r="B31" s="41" t="s">
        <v>9</v>
      </c>
      <c r="C31" s="13"/>
      <c r="D31" s="14">
        <f>FV($G$23,$A31*12,$G$21*-1)</f>
        <v>218955.79127715499</v>
      </c>
      <c r="E31" s="14"/>
      <c r="F31" s="14"/>
      <c r="G31" s="40">
        <f>D31*Rendimeoto_carteira</f>
        <v>1313.73474766293</v>
      </c>
    </row>
    <row r="32" spans="1:7" customFormat="1" x14ac:dyDescent="0.3">
      <c r="A32" s="9">
        <v>20</v>
      </c>
      <c r="B32" s="41" t="s">
        <v>10</v>
      </c>
      <c r="C32" s="13"/>
      <c r="D32" s="14">
        <f>FV($G$23,$A32*12,$G$21*-1)</f>
        <v>1012678.5600873725</v>
      </c>
      <c r="E32" s="14"/>
      <c r="F32" s="14"/>
      <c r="G32" s="40">
        <f>D32*Rendimeoto_carteira</f>
        <v>6076.0713605242354</v>
      </c>
    </row>
    <row r="33" spans="1:7" customFormat="1" ht="15" thickBot="1" x14ac:dyDescent="0.35">
      <c r="A33" s="9">
        <v>30</v>
      </c>
      <c r="B33" s="42" t="s">
        <v>11</v>
      </c>
      <c r="C33" s="43"/>
      <c r="D33" s="44">
        <f>FV($G$23,$A33*12,$G$21*-1)</f>
        <v>3889952.689504243</v>
      </c>
      <c r="E33" s="44"/>
      <c r="F33" s="44"/>
      <c r="G33" s="45">
        <f>D33*Rendimeoto_carteira</f>
        <v>23339.716137025458</v>
      </c>
    </row>
    <row r="34" spans="1:7" customFormat="1" ht="15" thickTop="1" x14ac:dyDescent="0.3">
      <c r="A34" s="9"/>
      <c r="B34" s="50"/>
      <c r="C34" s="51"/>
      <c r="D34" s="52"/>
      <c r="E34" s="52"/>
      <c r="F34" s="52"/>
      <c r="G34" s="53"/>
    </row>
    <row r="35" spans="1:7" customFormat="1" x14ac:dyDescent="0.3">
      <c r="A35" s="9"/>
      <c r="B35" s="51"/>
      <c r="C35" s="51"/>
      <c r="D35" s="52"/>
      <c r="E35" s="52"/>
      <c r="F35" s="52"/>
      <c r="G35" s="53"/>
    </row>
    <row r="36" spans="1:7" s="9" customFormat="1" x14ac:dyDescent="0.3">
      <c r="B36" s="68" t="s">
        <v>17</v>
      </c>
      <c r="C36" s="69"/>
      <c r="D36" s="72" t="s">
        <v>19</v>
      </c>
      <c r="E36" s="73"/>
      <c r="F36" s="73"/>
      <c r="G36" s="74"/>
    </row>
    <row r="37" spans="1:7" customFormat="1" x14ac:dyDescent="0.3">
      <c r="B37" s="70" t="s">
        <v>20</v>
      </c>
      <c r="C37" s="71"/>
      <c r="D37" s="75">
        <f>Aporte</f>
        <v>900</v>
      </c>
      <c r="E37" s="76"/>
      <c r="F37" s="76"/>
      <c r="G37" s="77"/>
    </row>
    <row r="38" spans="1:7" customFormat="1" x14ac:dyDescent="0.3">
      <c r="B38" s="2"/>
      <c r="C38" s="2"/>
      <c r="D38" s="54"/>
      <c r="E38" s="54"/>
      <c r="F38" s="54"/>
      <c r="G38" s="54"/>
    </row>
    <row r="39" spans="1:7" customFormat="1" x14ac:dyDescent="0.3">
      <c r="B39" s="2"/>
      <c r="C39" s="2"/>
      <c r="D39" s="54"/>
      <c r="E39" s="54"/>
      <c r="F39" s="54"/>
      <c r="G39" s="54"/>
    </row>
    <row r="40" spans="1:7" customFormat="1" x14ac:dyDescent="0.3">
      <c r="B40" s="78" t="s">
        <v>21</v>
      </c>
      <c r="C40" s="79"/>
      <c r="D40" s="80" t="s">
        <v>22</v>
      </c>
      <c r="E40" s="81"/>
      <c r="F40" s="81"/>
      <c r="G40" s="82" t="s">
        <v>23</v>
      </c>
    </row>
    <row r="41" spans="1:7" customFormat="1" x14ac:dyDescent="0.3">
      <c r="B41" s="83" t="s">
        <v>24</v>
      </c>
      <c r="C41" s="84"/>
      <c r="D41" s="85">
        <f>VLOOKUP($D$36&amp;"-"&amp;B41,Planilha2!$B$1:$F$19,5,FALSE)</f>
        <v>0.32</v>
      </c>
      <c r="E41" s="86"/>
      <c r="F41" s="86"/>
      <c r="G41" s="87">
        <f>D41*$D$37</f>
        <v>288</v>
      </c>
    </row>
    <row r="42" spans="1:7" customFormat="1" x14ac:dyDescent="0.3">
      <c r="B42" s="83" t="s">
        <v>25</v>
      </c>
      <c r="C42" s="84"/>
      <c r="D42" s="85">
        <f>VLOOKUP($D$36&amp;"-"&amp;B42,Planilha2!$B$1:$F$19,5,FALSE)</f>
        <v>0.3</v>
      </c>
      <c r="E42" s="86"/>
      <c r="F42" s="86"/>
      <c r="G42" s="87">
        <f t="shared" ref="G42:G46" si="0">D42*$D$37</f>
        <v>270</v>
      </c>
    </row>
    <row r="43" spans="1:7" customFormat="1" x14ac:dyDescent="0.3">
      <c r="B43" s="83" t="s">
        <v>26</v>
      </c>
      <c r="C43" s="84"/>
      <c r="D43" s="85">
        <f>VLOOKUP($D$36&amp;"-"&amp;B43,Planilha2!$B$1:$F$19,5,FALSE)</f>
        <v>0.08</v>
      </c>
      <c r="E43" s="86"/>
      <c r="F43" s="86"/>
      <c r="G43" s="87">
        <f t="shared" si="0"/>
        <v>72</v>
      </c>
    </row>
    <row r="44" spans="1:7" customFormat="1" x14ac:dyDescent="0.3">
      <c r="B44" s="83" t="s">
        <v>27</v>
      </c>
      <c r="C44" s="84"/>
      <c r="D44" s="85">
        <f>VLOOKUP($D$36&amp;"-"&amp;B44,Planilha2!$B$1:$F$19,5,FALSE)</f>
        <v>0.1</v>
      </c>
      <c r="E44" s="86"/>
      <c r="F44" s="86"/>
      <c r="G44" s="87">
        <f t="shared" si="0"/>
        <v>90</v>
      </c>
    </row>
    <row r="45" spans="1:7" customFormat="1" x14ac:dyDescent="0.3">
      <c r="B45" s="83" t="s">
        <v>28</v>
      </c>
      <c r="C45" s="84"/>
      <c r="D45" s="85">
        <f>VLOOKUP($D$36&amp;"-"&amp;B45,Planilha2!$B$1:$F$19,5,FALSE)</f>
        <v>0.1</v>
      </c>
      <c r="E45" s="86"/>
      <c r="F45" s="86"/>
      <c r="G45" s="87">
        <f t="shared" si="0"/>
        <v>90</v>
      </c>
    </row>
    <row r="46" spans="1:7" customFormat="1" x14ac:dyDescent="0.3">
      <c r="B46" s="83" t="s">
        <v>29</v>
      </c>
      <c r="C46" s="84"/>
      <c r="D46" s="85">
        <f>VLOOKUP($D$36&amp;"-"&amp;B46,Planilha2!$B$1:$F$19,5,FALSE)</f>
        <v>0.1</v>
      </c>
      <c r="E46" s="86"/>
      <c r="F46" s="86"/>
      <c r="G46" s="87">
        <f t="shared" si="0"/>
        <v>90</v>
      </c>
    </row>
    <row r="47" spans="1:7" customFormat="1" x14ac:dyDescent="0.3">
      <c r="B47" s="88" t="s">
        <v>30</v>
      </c>
      <c r="C47" s="89"/>
      <c r="D47" s="90"/>
      <c r="E47" s="91"/>
      <c r="F47" s="91"/>
      <c r="G47" s="92">
        <f>SUM(G41:G46)</f>
        <v>900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33">
    <mergeCell ref="B44:C44"/>
    <mergeCell ref="B45:C45"/>
    <mergeCell ref="B46:C46"/>
    <mergeCell ref="B47:C47"/>
    <mergeCell ref="B1:G7"/>
    <mergeCell ref="D39:G39"/>
    <mergeCell ref="B39:C39"/>
    <mergeCell ref="B40:C40"/>
    <mergeCell ref="B41:C41"/>
    <mergeCell ref="B42:C42"/>
    <mergeCell ref="B43:C43"/>
    <mergeCell ref="B36:C36"/>
    <mergeCell ref="B37:C37"/>
    <mergeCell ref="D37:G37"/>
    <mergeCell ref="D36:G36"/>
    <mergeCell ref="B38:C38"/>
    <mergeCell ref="D38:G38"/>
    <mergeCell ref="B22:D22"/>
    <mergeCell ref="B23:D23"/>
    <mergeCell ref="B24:D24"/>
    <mergeCell ref="B25:D25"/>
    <mergeCell ref="B14:G14"/>
    <mergeCell ref="B20:G20"/>
    <mergeCell ref="B16:D16"/>
    <mergeCell ref="B17:D17"/>
    <mergeCell ref="B21:D21"/>
    <mergeCell ref="B29:C29"/>
    <mergeCell ref="D30:F30"/>
    <mergeCell ref="D31:F31"/>
    <mergeCell ref="D32:F32"/>
    <mergeCell ref="D33:F33"/>
    <mergeCell ref="B28:F28"/>
    <mergeCell ref="B15:D15"/>
  </mergeCells>
  <dataValidations count="2">
    <dataValidation type="list" allowBlank="1" showInputMessage="1" showErrorMessage="1" sqref="D36" xr:uid="{44DFCC39-6002-4E2E-B751-E4F1D571305E}">
      <formula1>"Agressivo,Conservador,Moderado"</formula1>
    </dataValidation>
    <dataValidation allowBlank="1" showInputMessage="1" showErrorMessage="1" promptTitle="Informe o seu salário" prompt="Por favor, insira o seu salário ou sua renda mensal._x000a_" sqref="G15" xr:uid="{C96B91F0-959D-46D5-B6B8-B82E1B4A9C58}"/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E3BB-5324-4A87-A6AB-9575F7EACE4E}">
  <dimension ref="B1:J19"/>
  <sheetViews>
    <sheetView workbookViewId="0">
      <selection activeCell="I16" sqref="I16"/>
    </sheetView>
  </sheetViews>
  <sheetFormatPr defaultRowHeight="14.4" x14ac:dyDescent="0.3"/>
  <cols>
    <col min="2" max="2" width="28.77734375" bestFit="1" customWidth="1"/>
    <col min="3" max="3" width="11.21875" bestFit="1" customWidth="1"/>
    <col min="6" max="6" width="8.88671875" style="1"/>
    <col min="9" max="9" width="15.44140625" bestFit="1" customWidth="1"/>
  </cols>
  <sheetData>
    <row r="1" spans="2:10" x14ac:dyDescent="0.3">
      <c r="B1" s="56" t="s">
        <v>34</v>
      </c>
      <c r="C1" s="56" t="s">
        <v>32</v>
      </c>
      <c r="D1" s="55" t="s">
        <v>31</v>
      </c>
      <c r="E1" s="55"/>
      <c r="F1" s="1" t="s">
        <v>33</v>
      </c>
    </row>
    <row r="2" spans="2:10" x14ac:dyDescent="0.3">
      <c r="B2" t="str">
        <f>C2&amp;"-"&amp;D2</f>
        <v>Conservador-PAPEL</v>
      </c>
      <c r="C2" t="s">
        <v>18</v>
      </c>
      <c r="D2" s="2" t="s">
        <v>24</v>
      </c>
      <c r="E2" s="2"/>
      <c r="F2" s="57">
        <v>0.3</v>
      </c>
      <c r="J2" t="s">
        <v>33</v>
      </c>
    </row>
    <row r="3" spans="2:10" x14ac:dyDescent="0.3">
      <c r="B3" t="str">
        <f>C3&amp;"-"&amp;D3</f>
        <v>Conservador-TIJOLO</v>
      </c>
      <c r="C3" t="s">
        <v>18</v>
      </c>
      <c r="D3" s="2" t="s">
        <v>25</v>
      </c>
      <c r="E3" s="2"/>
      <c r="F3" s="57">
        <v>0.5</v>
      </c>
      <c r="I3" t="s">
        <v>36</v>
      </c>
      <c r="J3" s="67">
        <f>VLOOKUP(I3,$B$1:$F$19,5,FALSE)</f>
        <v>0.3</v>
      </c>
    </row>
    <row r="4" spans="2:10" x14ac:dyDescent="0.3">
      <c r="B4" t="str">
        <f t="shared" ref="B3:B19" si="0">C4&amp;"-"&amp;D4</f>
        <v>Conservador-HÍBRIDOS</v>
      </c>
      <c r="C4" t="s">
        <v>18</v>
      </c>
      <c r="D4" s="2" t="s">
        <v>26</v>
      </c>
      <c r="E4" s="2"/>
      <c r="F4" s="57">
        <v>0.1</v>
      </c>
    </row>
    <row r="5" spans="2:10" x14ac:dyDescent="0.3">
      <c r="B5" t="str">
        <f t="shared" si="0"/>
        <v>Conservador-FOFs</v>
      </c>
      <c r="C5" t="s">
        <v>18</v>
      </c>
      <c r="D5" s="2" t="s">
        <v>27</v>
      </c>
      <c r="E5" s="2"/>
      <c r="F5" s="57">
        <v>0.1</v>
      </c>
    </row>
    <row r="6" spans="2:10" x14ac:dyDescent="0.3">
      <c r="B6" t="str">
        <f t="shared" si="0"/>
        <v>Conservador-DESENVOLVIMENTO</v>
      </c>
      <c r="C6" t="s">
        <v>18</v>
      </c>
      <c r="D6" s="2" t="s">
        <v>28</v>
      </c>
      <c r="E6" s="2"/>
      <c r="F6" s="57">
        <v>0</v>
      </c>
    </row>
    <row r="7" spans="2:10" x14ac:dyDescent="0.3">
      <c r="B7" t="str">
        <f t="shared" si="0"/>
        <v>Conservador-HOTELARIAS</v>
      </c>
      <c r="C7" t="s">
        <v>18</v>
      </c>
      <c r="D7" s="2" t="s">
        <v>29</v>
      </c>
      <c r="E7" s="2"/>
      <c r="F7" s="57">
        <v>0</v>
      </c>
    </row>
    <row r="8" spans="2:10" x14ac:dyDescent="0.3">
      <c r="B8" s="6" t="str">
        <f t="shared" si="0"/>
        <v>Moderado-PAPEL</v>
      </c>
      <c r="C8" s="6" t="s">
        <v>19</v>
      </c>
      <c r="D8" s="62" t="s">
        <v>24</v>
      </c>
      <c r="E8" s="62"/>
      <c r="F8" s="66">
        <v>0.32</v>
      </c>
    </row>
    <row r="9" spans="2:10" x14ac:dyDescent="0.3">
      <c r="B9" s="5" t="str">
        <f t="shared" si="0"/>
        <v>Moderado-TIJOLO</v>
      </c>
      <c r="C9" s="5" t="s">
        <v>19</v>
      </c>
      <c r="D9" s="4" t="s">
        <v>25</v>
      </c>
      <c r="E9" s="4"/>
      <c r="F9" s="64">
        <v>0.3</v>
      </c>
    </row>
    <row r="10" spans="2:10" x14ac:dyDescent="0.3">
      <c r="B10" s="5" t="str">
        <f t="shared" si="0"/>
        <v>Moderado-HÍBRIDOS</v>
      </c>
      <c r="C10" s="5" t="s">
        <v>19</v>
      </c>
      <c r="D10" s="4" t="s">
        <v>26</v>
      </c>
      <c r="E10" s="4"/>
      <c r="F10" s="65">
        <v>0.08</v>
      </c>
    </row>
    <row r="11" spans="2:10" x14ac:dyDescent="0.3">
      <c r="B11" s="5" t="str">
        <f t="shared" si="0"/>
        <v>Moderado-FOFs</v>
      </c>
      <c r="C11" s="5" t="s">
        <v>19</v>
      </c>
      <c r="D11" s="4" t="s">
        <v>27</v>
      </c>
      <c r="E11" s="4"/>
      <c r="F11" s="65">
        <v>0.1</v>
      </c>
    </row>
    <row r="12" spans="2:10" x14ac:dyDescent="0.3">
      <c r="B12" s="5" t="str">
        <f t="shared" si="0"/>
        <v>Moderado-DESENVOLVIMENTO</v>
      </c>
      <c r="C12" s="5" t="s">
        <v>19</v>
      </c>
      <c r="D12" s="4" t="s">
        <v>28</v>
      </c>
      <c r="E12" s="4"/>
      <c r="F12" s="65">
        <v>0.1</v>
      </c>
    </row>
    <row r="13" spans="2:10" x14ac:dyDescent="0.3">
      <c r="B13" s="3" t="str">
        <f t="shared" si="0"/>
        <v>Moderado-HOTELARIAS</v>
      </c>
      <c r="C13" s="3" t="s">
        <v>19</v>
      </c>
      <c r="D13" s="63" t="s">
        <v>29</v>
      </c>
      <c r="E13" s="63"/>
      <c r="F13" s="65">
        <v>0.1</v>
      </c>
    </row>
    <row r="14" spans="2:10" x14ac:dyDescent="0.3">
      <c r="B14" s="5" t="str">
        <f t="shared" si="0"/>
        <v>Agressivo-PAPEL</v>
      </c>
      <c r="C14" s="5" t="s">
        <v>35</v>
      </c>
      <c r="D14" s="4" t="s">
        <v>24</v>
      </c>
      <c r="E14" s="4"/>
      <c r="F14" s="65">
        <v>0.5</v>
      </c>
    </row>
    <row r="15" spans="2:10" x14ac:dyDescent="0.3">
      <c r="B15" s="5" t="str">
        <f t="shared" si="0"/>
        <v>Agressivo-TIJOLO</v>
      </c>
      <c r="C15" s="5" t="s">
        <v>35</v>
      </c>
      <c r="D15" s="4" t="s">
        <v>25</v>
      </c>
      <c r="E15" s="4"/>
      <c r="F15" s="65">
        <v>0.2</v>
      </c>
    </row>
    <row r="16" spans="2:10" x14ac:dyDescent="0.3">
      <c r="B16" s="5" t="str">
        <f t="shared" si="0"/>
        <v>Agressivo-HÍBRIDOS</v>
      </c>
      <c r="C16" s="5" t="s">
        <v>35</v>
      </c>
      <c r="D16" s="4" t="s">
        <v>26</v>
      </c>
      <c r="E16" s="4"/>
      <c r="F16" s="65">
        <v>0.05</v>
      </c>
    </row>
    <row r="17" spans="2:6" x14ac:dyDescent="0.3">
      <c r="B17" s="5" t="str">
        <f t="shared" si="0"/>
        <v>Agressivo-FOFs</v>
      </c>
      <c r="C17" s="5" t="s">
        <v>35</v>
      </c>
      <c r="D17" s="4" t="s">
        <v>27</v>
      </c>
      <c r="E17" s="4"/>
      <c r="F17" s="65">
        <v>0.05</v>
      </c>
    </row>
    <row r="18" spans="2:6" x14ac:dyDescent="0.3">
      <c r="B18" s="5" t="str">
        <f t="shared" si="0"/>
        <v>Agressivo-DESENVOLVIMENTO</v>
      </c>
      <c r="C18" s="5" t="s">
        <v>35</v>
      </c>
      <c r="D18" s="4" t="s">
        <v>28</v>
      </c>
      <c r="E18" s="4"/>
      <c r="F18" s="65">
        <v>0.1</v>
      </c>
    </row>
    <row r="19" spans="2:6" x14ac:dyDescent="0.3">
      <c r="B19" s="3" t="str">
        <f t="shared" si="0"/>
        <v>Agressivo-HOTELARIAS</v>
      </c>
      <c r="C19" s="3" t="s">
        <v>35</v>
      </c>
      <c r="D19" s="63" t="s">
        <v>29</v>
      </c>
      <c r="E19" s="63"/>
      <c r="F19" s="65">
        <v>0.1</v>
      </c>
    </row>
  </sheetData>
  <mergeCells count="19">
    <mergeCell ref="D19:E19"/>
    <mergeCell ref="D13:E13"/>
    <mergeCell ref="D14:E14"/>
    <mergeCell ref="D15:E15"/>
    <mergeCell ref="D16:E16"/>
    <mergeCell ref="D17:E17"/>
    <mergeCell ref="D18:E18"/>
    <mergeCell ref="D1:E1"/>
    <mergeCell ref="D8:E8"/>
    <mergeCell ref="D9:E9"/>
    <mergeCell ref="D10:E10"/>
    <mergeCell ref="D11:E11"/>
    <mergeCell ref="D12:E12"/>
    <mergeCell ref="D2:E2"/>
    <mergeCell ref="D3:E3"/>
    <mergeCell ref="D4:E4"/>
    <mergeCell ref="D5:E5"/>
    <mergeCell ref="D6:E6"/>
    <mergeCell ref="D7:E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Planilha1</vt:lpstr>
      <vt:lpstr>Planilha2</vt:lpstr>
      <vt:lpstr>Aporte</vt:lpstr>
      <vt:lpstr>Rendimeoto_carteira</vt:lpstr>
      <vt:lpstr>sugestão_investimento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Seares</dc:creator>
  <cp:lastModifiedBy>Amanda Seares</cp:lastModifiedBy>
  <dcterms:created xsi:type="dcterms:W3CDTF">2026-02-07T14:48:50Z</dcterms:created>
  <dcterms:modified xsi:type="dcterms:W3CDTF">2026-02-07T21:14:40Z</dcterms:modified>
</cp:coreProperties>
</file>